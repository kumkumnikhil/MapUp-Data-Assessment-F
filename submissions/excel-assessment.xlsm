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izana\Downloads\"/>
    </mc:Choice>
  </mc:AlternateContent>
  <xr:revisionPtr revIDLastSave="0" documentId="8_{D9381E6E-23CD-404C-AEE8-8A2637E6E2E2}" xr6:coauthVersionLast="47" xr6:coauthVersionMax="47" xr10:uidLastSave="{00000000-0000-0000-0000-000000000000}"/>
  <bookViews>
    <workbookView xWindow="-110" yWindow="-110" windowWidth="19420" windowHeight="10300" tabRatio="849" firstSheet="1" activeTab="1" xr2:uid="{00000000-000D-0000-FFFF-FFFF00000000}"/>
  </bookViews>
  <sheets>
    <sheet name="Instructions" sheetId="22" r:id="rId1"/>
    <sheet name="Dataset1" sheetId="23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Dataset1!$A$1:$Y$41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0" i="18" l="1"/>
  <c r="F29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F28" i="18" s="1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E28" i="18" s="1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D28" i="18" s="1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C28" i="18" s="1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B29" i="18" s="1"/>
  <c r="C22" i="19" a="1"/>
  <c r="C22" i="19" s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23" i="20"/>
  <c r="Y3" i="23"/>
  <c r="Y4" i="23"/>
  <c r="Y5" i="23"/>
  <c r="Y6" i="23"/>
  <c r="Y7" i="23"/>
  <c r="Y8" i="23"/>
  <c r="Y9" i="23"/>
  <c r="Y10" i="23"/>
  <c r="Y11" i="23"/>
  <c r="Y12" i="23"/>
  <c r="Y13" i="23"/>
  <c r="Y14" i="23"/>
  <c r="Y15" i="23"/>
  <c r="Y16" i="23"/>
  <c r="Y17" i="23"/>
  <c r="Y18" i="23"/>
  <c r="Y19" i="23"/>
  <c r="Y20" i="23"/>
  <c r="Y21" i="23"/>
  <c r="Y22" i="23"/>
  <c r="Y23" i="23"/>
  <c r="Y24" i="23"/>
  <c r="Y25" i="23"/>
  <c r="Y26" i="23"/>
  <c r="Y27" i="23"/>
  <c r="Y28" i="23"/>
  <c r="Y29" i="23"/>
  <c r="Y30" i="23"/>
  <c r="Y31" i="23"/>
  <c r="Y32" i="23"/>
  <c r="Y33" i="23"/>
  <c r="Y34" i="23"/>
  <c r="Y35" i="23"/>
  <c r="Y36" i="23"/>
  <c r="Y37" i="23"/>
  <c r="Y38" i="23"/>
  <c r="Y39" i="23"/>
  <c r="Y40" i="23"/>
  <c r="Y2" i="23"/>
  <c r="H41" i="23"/>
  <c r="E29" i="18" l="1"/>
  <c r="D29" i="18"/>
  <c r="B30" i="18"/>
  <c r="D30" i="18"/>
  <c r="C30" i="18"/>
  <c r="F30" i="18"/>
  <c r="C29" i="18"/>
  <c r="B28" i="1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<sst xmlns="http://schemas.openxmlformats.org/spreadsheetml/2006/main" count="423" uniqueCount="185">
  <si>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</si>
  <si>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</si>
  <si>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</si>
  <si>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</si>
  <si>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</si>
  <si>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</si>
  <si>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</si>
  <si>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</si>
  <si>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</si>
  <si>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</si>
  <si>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</si>
  <si>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</si>
  <si>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</si>
  <si>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</si>
  <si>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</si>
  <si>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</si>
  <si>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</si>
  <si>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</si>
  <si>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</si>
  <si>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</si>
  <si>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</si>
  <si>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</si>
  <si>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</si>
  <si>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</si>
  <si>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</si>
  <si>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</si>
  <si>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</si>
  <si>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</si>
  <si>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</si>
  <si>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</si>
  <si>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</si>
  <si>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</si>
  <si>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</si>
  <si>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</si>
  <si>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</si>
  <si>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</si>
  <si>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</si>
  <si>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</si>
  <si>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</si>
  <si>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</si>
  <si>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</si>
  <si>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</si>
  <si>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</si>
  <si>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</si>
  <si>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</si>
  <si>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</si>
  <si>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</si>
  <si>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</si>
  <si>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</si>
  <si>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</si>
  <si>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</si>
  <si>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</si>
  <si>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</si>
  <si>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</si>
  <si>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</si>
  <si>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</si>
  <si>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</si>
  <si>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</si>
  <si>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</si>
  <si>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</si>
  <si>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</si>
  <si>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</si>
  <si>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</si>
  <si>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</si>
  <si>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</si>
  <si>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</si>
  <si>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</si>
  <si>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</si>
  <si>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</si>
  <si>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</si>
  <si>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</si>
  <si>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</si>
  <si>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</si>
  <si>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</si>
  <si>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</si>
  <si>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</si>
  <si>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</si>
  <si>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</si>
  <si>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</si>
  <si>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</si>
  <si>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</si>
  <si>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</si>
  <si>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</si>
  <si>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</si>
  <si>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</si>
  <si>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</si>
  <si>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</si>
  <si>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</si>
  <si>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</si>
  <si>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</si>
  <si>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</si>
  <si>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</si>
  <si>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</si>
  <si>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</si>
  <si>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</si>
  <si>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</si>
  <si>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</si>
  <si>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</si>
  <si>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</si>
  <si>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</si>
  <si>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</si>
  <si>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</si>
  <si>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</si>
  <si>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</si>
  <si>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</si>
  <si>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</si>
  <si>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</si>
  <si>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</si>
  <si>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</si>
  <si>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</si>
  <si>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</si>
  <si>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</si>
  <si>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</si>
  <si>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</si>
  <si>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</si>
  <si>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</si>
  <si>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</si>
  <si>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</si>
  <si>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</si>
  <si>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</si>
  <si>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</si>
  <si>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</si>
  <si>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</si>
  <si>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</si>
  <si>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</si>
  <si>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</si>
  <si>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</si>
  <si>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</si>
  <si>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</si>
  <si>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</si>
  <si>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</si>
  <si>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</si>
  <si>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</si>
  <si>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</si>
  <si>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</si>
  <si>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</si>
  <si>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</si>
  <si>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</si>
  <si>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</si>
  <si>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</si>
  <si>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</si>
  <si>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</si>
  <si>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</si>
  <si>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</si>
  <si>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</si>
  <si>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</si>
  <si>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</si>
  <si>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</si>
  <si>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</si>
  <si>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</si>
  <si>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</si>
  <si>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</si>
  <si>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</si>
  <si>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</si>
  <si>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</si>
  <si>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</si>
  <si>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</si>
  <si>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</si>
  <si>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</si>
  <si>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</si>
  <si>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</si>
  <si>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</si>
  <si>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</si>
  <si>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</si>
  <si>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</si>
  <si>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</si>
  <si>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</si>
  <si>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</si>
  <si>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</si>
  <si>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</si>
  <si>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</si>
  <si>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</si>
  <si>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</si>
  <si>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</si>
  <si>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</si>
  <si>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</si>
  <si>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</si>
  <si>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sumif(h2:h40, "&gt;20")</t>
  </si>
  <si>
    <t>dates</t>
  </si>
  <si>
    <t>Text to columns</t>
  </si>
  <si>
    <t xml:space="preserve">selected all the cell values of values columns and used text to columns function </t>
  </si>
  <si>
    <t>INDEX($B$10:$J$18,MATCH(A23,$M$10:$M$18,0),MATCH(B23,$M$10:$M$18,0))</t>
  </si>
  <si>
    <t>retrieves a value from a specified range based on the intersection of two lookup values with their respective columns, using the INDEX and MATCH functions in Excel.</t>
  </si>
  <si>
    <t>SUM(IFERROR(C11:C21, 20))</t>
  </si>
  <si>
    <t>The formula =SUM(IFERROR(C11:C21, 20)) calculates the sum of sales in the range C11:C21, replacing any #N/A values with the value '20'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</si>
</sst>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2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u val="none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2"/>
      <tableStyleElement type="headerRow" dxfId="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40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7" t="s">
        <v>171</v>
      </c>
      <c r="B9" s="26" t="s">
        <v>169</v>
      </c>
    </row>
    <row r="10" spans="1:3" x14ac:dyDescent="0.3">
      <c r="A10" s="36" t="s">
        <v>172</v>
      </c>
      <c r="B10" s="38">
        <v>25</v>
      </c>
    </row>
    <row r="11" spans="1:3" x14ac:dyDescent="0.3">
      <c r="A11" s="36" t="s">
        <v>55</v>
      </c>
      <c r="B11" s="38">
        <v>30</v>
      </c>
    </row>
    <row r="12" spans="1:3" x14ac:dyDescent="0.3">
      <c r="A12" s="36" t="s">
        <v>56</v>
      </c>
      <c r="B12" s="38">
        <v>10</v>
      </c>
    </row>
    <row r="13" spans="1:3" x14ac:dyDescent="0.3">
      <c r="A13" s="36" t="s">
        <v>85</v>
      </c>
      <c r="B13" s="38">
        <v>20</v>
      </c>
    </row>
    <row r="14" spans="1:3" x14ac:dyDescent="0.3">
      <c r="A14" s="36" t="s">
        <v>98</v>
      </c>
      <c r="B14" s="38">
        <v>40</v>
      </c>
    </row>
    <row r="15" spans="1:3" x14ac:dyDescent="0.3">
      <c r="A15" s="39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D8001-EA91-4B5D-9D65-314BA0A8397E}">
  <dimension ref="A1:Y41"/>
  <sheetViews>
    <sheetView tabSelected="1" zoomScale="110" workbookViewId="0">
      <pane ySplit="1" topLeftCell="A2" activePane="bottomLeft" state="frozen"/>
      <selection activeCell="C1" sqref="C1"/>
      <selection pane="bottomLeft" activeCell="H42" sqref="H42"/>
    </sheetView>
  </sheetViews>
  <sheetFormatPr defaultColWidth="9" defaultRowHeight="13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3984375" style="24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25" width="11.796875" style="1" customWidth="1"/>
    <col min="26" max="16384" width="9" style="1"/>
  </cols>
  <sheetData>
    <row r="1" spans="1:25" s="3" customFormat="1" ht="14.75" customHeight="1" x14ac:dyDescent="0.35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105</v>
      </c>
      <c r="Y1" s="3" t="s">
        <v>178</v>
      </c>
    </row>
    <row r="2" spans="1:25" ht="14.5" x14ac:dyDescent="0.3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  <c r="Y2" s="1" t="str">
        <f>TEXT(X2,"yyyy-mm-dd")</f>
        <v>2023-05-05</v>
      </c>
    </row>
    <row r="3" spans="1:25" ht="14.5" x14ac:dyDescent="0.3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  <c r="Y3" s="1" t="str">
        <f t="shared" ref="Y3:Y40" si="0">TEXT(X3,"yyyy-mm-dd")</f>
        <v>2023-05-02</v>
      </c>
    </row>
    <row r="4" spans="1:25" ht="14.5" x14ac:dyDescent="0.3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  <c r="Y4" s="1" t="str">
        <f t="shared" si="0"/>
        <v>2023-05-09</v>
      </c>
    </row>
    <row r="5" spans="1:25" ht="14.5" x14ac:dyDescent="0.3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  <c r="Y5" s="1" t="str">
        <f t="shared" si="0"/>
        <v>2023-05-13</v>
      </c>
    </row>
    <row r="6" spans="1:25" ht="14.5" x14ac:dyDescent="0.3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  <c r="Y6" s="1" t="str">
        <f t="shared" si="0"/>
        <v>2023-05-30</v>
      </c>
    </row>
    <row r="7" spans="1:25" ht="14.5" x14ac:dyDescent="0.3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  <c r="Y7" s="1" t="str">
        <f t="shared" si="0"/>
        <v>2023-05-11</v>
      </c>
    </row>
    <row r="8" spans="1:25" ht="14.5" x14ac:dyDescent="0.3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  <c r="Y8" s="1" t="str">
        <f t="shared" si="0"/>
        <v>2023-05-06</v>
      </c>
    </row>
    <row r="9" spans="1:25" ht="14.5" x14ac:dyDescent="0.3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  <c r="Y9" s="1" t="str">
        <f t="shared" si="0"/>
        <v>2023-06-21</v>
      </c>
    </row>
    <row r="10" spans="1:25" ht="14.5" x14ac:dyDescent="0.3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  <c r="Y10" s="1" t="str">
        <f t="shared" si="0"/>
        <v>2023-06-15</v>
      </c>
    </row>
    <row r="11" spans="1:25" ht="14.5" x14ac:dyDescent="0.3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  <c r="Y11" s="1" t="str">
        <f t="shared" si="0"/>
        <v>2023-06-27</v>
      </c>
    </row>
    <row r="12" spans="1:25" ht="14.5" x14ac:dyDescent="0.3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  <c r="Y12" s="1" t="str">
        <f t="shared" si="0"/>
        <v>2023-07-09</v>
      </c>
    </row>
    <row r="13" spans="1:25" ht="14.5" x14ac:dyDescent="0.3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  <c r="Y13" s="1" t="str">
        <f t="shared" si="0"/>
        <v>2023-07-03</v>
      </c>
    </row>
    <row r="14" spans="1:25" ht="14.5" x14ac:dyDescent="0.3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  <c r="Y14" s="1" t="str">
        <f t="shared" si="0"/>
        <v>2023-06-18</v>
      </c>
    </row>
    <row r="15" spans="1:25" ht="14.5" x14ac:dyDescent="0.3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  <c r="Y15" s="1" t="str">
        <f t="shared" si="0"/>
        <v>2023-07-06</v>
      </c>
    </row>
    <row r="16" spans="1:25" ht="14.5" x14ac:dyDescent="0.3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  <c r="Y16" s="1" t="str">
        <f t="shared" si="0"/>
        <v>2023-05-17</v>
      </c>
    </row>
    <row r="17" spans="1:25" ht="14.5" x14ac:dyDescent="0.3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  <c r="Y17" s="1" t="str">
        <f t="shared" si="0"/>
        <v>2023-05-25</v>
      </c>
    </row>
    <row r="18" spans="1:25" ht="14.5" x14ac:dyDescent="0.3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  <c r="Y18" s="1" t="str">
        <f t="shared" si="0"/>
        <v>2023-06-08</v>
      </c>
    </row>
    <row r="19" spans="1:25" ht="14.5" x14ac:dyDescent="0.3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  <c r="Y19" s="1" t="str">
        <f t="shared" si="0"/>
        <v>2023-06-22</v>
      </c>
    </row>
    <row r="20" spans="1:25" ht="14.5" x14ac:dyDescent="0.3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  <c r="Y20" s="1" t="str">
        <f t="shared" si="0"/>
        <v>2023-06-14</v>
      </c>
    </row>
    <row r="21" spans="1:25" ht="14.5" x14ac:dyDescent="0.3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  <c r="Y21" s="1" t="str">
        <f t="shared" si="0"/>
        <v>2023-06-02</v>
      </c>
    </row>
    <row r="22" spans="1:25" ht="14.5" x14ac:dyDescent="0.3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  <c r="Y22" s="1" t="str">
        <f t="shared" si="0"/>
        <v>2023-05-29</v>
      </c>
    </row>
    <row r="23" spans="1:25" ht="14.5" x14ac:dyDescent="0.3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7">
        <v>45110</v>
      </c>
      <c r="Y23" s="1" t="str">
        <f t="shared" si="0"/>
        <v>2023-07-03</v>
      </c>
    </row>
    <row r="24" spans="1:25" ht="14.5" x14ac:dyDescent="0.3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7">
        <v>45114</v>
      </c>
      <c r="Y24" s="1" t="str">
        <f t="shared" si="0"/>
        <v>2023-07-07</v>
      </c>
    </row>
    <row r="25" spans="1:25" ht="14.5" x14ac:dyDescent="0.3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7">
        <v>45118</v>
      </c>
      <c r="Y25" s="1" t="str">
        <f t="shared" si="0"/>
        <v>2023-07-11</v>
      </c>
    </row>
    <row r="26" spans="1:25" ht="14.5" x14ac:dyDescent="0.3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7">
        <v>45142</v>
      </c>
      <c r="Y26" s="1" t="str">
        <f t="shared" si="0"/>
        <v>2023-08-04</v>
      </c>
    </row>
    <row r="27" spans="1:25" ht="14.5" x14ac:dyDescent="0.3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7">
        <v>45146</v>
      </c>
      <c r="Y27" s="1" t="str">
        <f t="shared" si="0"/>
        <v>2023-08-08</v>
      </c>
    </row>
    <row r="28" spans="1:25" ht="14.5" x14ac:dyDescent="0.3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7">
        <v>45108</v>
      </c>
      <c r="Y28" s="1" t="str">
        <f t="shared" si="0"/>
        <v>2023-07-01</v>
      </c>
    </row>
    <row r="29" spans="1:25" ht="14.5" x14ac:dyDescent="0.3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7">
        <v>45153</v>
      </c>
      <c r="Y29" s="1" t="str">
        <f t="shared" si="0"/>
        <v>2023-08-15</v>
      </c>
    </row>
    <row r="30" spans="1:25" ht="14.5" x14ac:dyDescent="0.3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  <c r="Y30" s="1" t="str">
        <f t="shared" si="0"/>
        <v>2023-08-12</v>
      </c>
    </row>
    <row r="31" spans="1:25" ht="14.5" x14ac:dyDescent="0.3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7">
        <v>45157</v>
      </c>
      <c r="Y31" s="1" t="str">
        <f t="shared" si="0"/>
        <v>2023-08-19</v>
      </c>
    </row>
    <row r="32" spans="1:25" ht="14.5" x14ac:dyDescent="0.3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  <c r="Y32" s="1" t="str">
        <f t="shared" si="0"/>
        <v>2023-08-05</v>
      </c>
    </row>
    <row r="33" spans="1:25" ht="14.5" x14ac:dyDescent="0.3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45166</v>
      </c>
      <c r="Y33" s="1" t="str">
        <f t="shared" si="0"/>
        <v>2023-08-28</v>
      </c>
    </row>
    <row r="34" spans="1:25" ht="14.5" x14ac:dyDescent="0.3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7">
        <v>45162</v>
      </c>
      <c r="Y34" s="1" t="str">
        <f t="shared" si="0"/>
        <v>2023-08-24</v>
      </c>
    </row>
    <row r="35" spans="1:25" ht="14.5" x14ac:dyDescent="0.3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7">
        <v>45160</v>
      </c>
      <c r="Y35" s="1" t="str">
        <f t="shared" si="0"/>
        <v>2023-08-22</v>
      </c>
    </row>
    <row r="36" spans="1:25" ht="14.5" x14ac:dyDescent="0.3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7">
        <v>45179</v>
      </c>
      <c r="Y36" s="1" t="str">
        <f t="shared" si="0"/>
        <v>2023-09-10</v>
      </c>
    </row>
    <row r="37" spans="1:25" ht="14.5" x14ac:dyDescent="0.3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7">
        <v>45157</v>
      </c>
      <c r="Y37" s="1" t="str">
        <f t="shared" si="0"/>
        <v>2023-08-19</v>
      </c>
    </row>
    <row r="38" spans="1:25" ht="14.5" x14ac:dyDescent="0.3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7">
        <v>45143</v>
      </c>
      <c r="Y38" s="1" t="str">
        <f t="shared" si="0"/>
        <v>2023-08-05</v>
      </c>
    </row>
    <row r="39" spans="1:25" ht="14.5" x14ac:dyDescent="0.3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7">
        <v>45166</v>
      </c>
      <c r="Y39" s="1" t="str">
        <f t="shared" si="0"/>
        <v>2023-08-28</v>
      </c>
    </row>
    <row r="40" spans="1:25" ht="14.5" x14ac:dyDescent="0.3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7">
        <v>45162</v>
      </c>
      <c r="Y40" s="1" t="str">
        <f t="shared" si="0"/>
        <v>2023-08-24</v>
      </c>
    </row>
    <row r="41" spans="1:25" x14ac:dyDescent="0.35">
      <c r="H41" s="1">
        <f>SUMIF(H2:H40, "&gt;20")</f>
        <v>1473.0000000000002</v>
      </c>
    </row>
  </sheetData>
  <autoFilter ref="A1:Y41" xr:uid="{99DD8001-EA91-4B5D-9D65-314BA0A8397E}"/>
  <conditionalFormatting sqref="A1:A1048576">
    <cfRule type="duplicateValues" dxfId="10" priority="7"/>
  </conditionalFormatting>
  <conditionalFormatting sqref="B1:B1048576">
    <cfRule type="duplicateValues" dxfId="9" priority="6"/>
  </conditionalFormatting>
  <conditionalFormatting sqref="G1:W40">
    <cfRule type="cellIs" dxfId="5" priority="1" operator="equal">
      <formula>0</formula>
    </cfRule>
    <cfRule type="cellIs" dxfId="4" priority="2" operator="equal">
      <formula>-1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7" sqref="C7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5" t="s">
        <v>177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5" zoomScaleNormal="100" workbookViewId="0">
      <selection activeCell="D30" sqref="D30:F30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0" width="11" style="2" customWidth="1"/>
    <col min="11" max="16384" width="11" style="2"/>
  </cols>
  <sheetData>
    <row r="1" spans="1:7" s="42" customFormat="1" ht="21" x14ac:dyDescent="0.5">
      <c r="A1" s="43" t="s">
        <v>55</v>
      </c>
      <c r="B1" s="42" t="s">
        <v>164</v>
      </c>
    </row>
    <row r="2" spans="1:7" s="42" customFormat="1" ht="21" x14ac:dyDescent="0.5">
      <c r="B2" s="42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8" t="s">
        <v>162</v>
      </c>
      <c r="B4" s="1"/>
      <c r="C4" s="1"/>
      <c r="D4" s="1"/>
      <c r="E4" s="1"/>
      <c r="F4" s="1"/>
      <c r="G4" s="1"/>
    </row>
    <row r="5" spans="1:7" ht="14.5" x14ac:dyDescent="0.3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5" x14ac:dyDescent="0.35">
      <c r="A6" s="7" t="s">
        <v>40</v>
      </c>
      <c r="B6" s="12" t="e">
        <f>VLOOKUP(A6,#REF!,7,FALSE)</f>
        <v>#REF!</v>
      </c>
      <c r="C6" s="12" t="e">
        <f>VLOOKUP(A6,#REF!,14,FALSE)</f>
        <v>#REF!</v>
      </c>
      <c r="D6" s="12" t="e">
        <f>VLOOKUP(A6,#REF!,18,FALSE)</f>
        <v>#REF!</v>
      </c>
      <c r="E6" s="12" t="e">
        <f xml:space="preserve"> VLOOKUP(A6,#REF!,20,FALSE)</f>
        <v>#REF!</v>
      </c>
      <c r="F6" s="8" t="e">
        <f>VLOOKUP(A6,#REF!,22,FALSE)</f>
        <v>#REF!</v>
      </c>
    </row>
    <row r="7" spans="1:7" ht="14.5" x14ac:dyDescent="0.35">
      <c r="A7" s="7" t="s">
        <v>4</v>
      </c>
      <c r="B7" s="12" t="e">
        <f>VLOOKUP(A7,#REF!,7,FALSE)</f>
        <v>#REF!</v>
      </c>
      <c r="C7" s="12" t="e">
        <f>VLOOKUP(A7,#REF!,14,FALSE)</f>
        <v>#REF!</v>
      </c>
      <c r="D7" s="12" t="e">
        <f>VLOOKUP(A7,#REF!,18,FALSE)</f>
        <v>#REF!</v>
      </c>
      <c r="E7" s="12" t="e">
        <f xml:space="preserve"> VLOOKUP(A7,#REF!,20,FALSE)</f>
        <v>#REF!</v>
      </c>
      <c r="F7" s="8" t="e">
        <f>VLOOKUP(A7,#REF!,22,FALSE)</f>
        <v>#REF!</v>
      </c>
    </row>
    <row r="8" spans="1:7" ht="14.5" x14ac:dyDescent="0.35">
      <c r="A8" s="7" t="s">
        <v>7</v>
      </c>
      <c r="B8" s="12" t="e">
        <f>VLOOKUP(A8,#REF!,7,FALSE)</f>
        <v>#REF!</v>
      </c>
      <c r="C8" s="12" t="e">
        <f>VLOOKUP(A8,#REF!,14,FALSE)</f>
        <v>#REF!</v>
      </c>
      <c r="D8" s="12" t="e">
        <f>VLOOKUP(A8,#REF!,18,FALSE)</f>
        <v>#REF!</v>
      </c>
      <c r="E8" s="12" t="e">
        <f xml:space="preserve"> VLOOKUP(A8,#REF!,20,FALSE)</f>
        <v>#REF!</v>
      </c>
      <c r="F8" s="8" t="e">
        <f>VLOOKUP(A8,#REF!,22,FALSE)</f>
        <v>#REF!</v>
      </c>
    </row>
    <row r="9" spans="1:7" ht="14.5" x14ac:dyDescent="0.35">
      <c r="A9" s="7" t="s">
        <v>8</v>
      </c>
      <c r="B9" s="12" t="e">
        <f>VLOOKUP(A9,#REF!,7,FALSE)</f>
        <v>#REF!</v>
      </c>
      <c r="C9" s="12" t="e">
        <f>VLOOKUP(A9,#REF!,14,FALSE)</f>
        <v>#REF!</v>
      </c>
      <c r="D9" s="12" t="e">
        <f>VLOOKUP(A9,#REF!,18,FALSE)</f>
        <v>#REF!</v>
      </c>
      <c r="E9" s="12" t="e">
        <f xml:space="preserve"> VLOOKUP(A9,#REF!,20,FALSE)</f>
        <v>#REF!</v>
      </c>
      <c r="F9" s="8" t="e">
        <f>VLOOKUP(A9,#REF!,22,FALSE)</f>
        <v>#REF!</v>
      </c>
    </row>
    <row r="10" spans="1:7" ht="14.5" x14ac:dyDescent="0.35">
      <c r="A10" s="7" t="s">
        <v>11</v>
      </c>
      <c r="B10" s="12" t="e">
        <f>VLOOKUP(A10,#REF!,7,FALSE)</f>
        <v>#REF!</v>
      </c>
      <c r="C10" s="12" t="e">
        <f>VLOOKUP(A10,#REF!,14,FALSE)</f>
        <v>#REF!</v>
      </c>
      <c r="D10" s="12" t="e">
        <f>VLOOKUP(A10,#REF!,18,FALSE)</f>
        <v>#REF!</v>
      </c>
      <c r="E10" s="12" t="e">
        <f xml:space="preserve"> VLOOKUP(A10,#REF!,20,FALSE)</f>
        <v>#REF!</v>
      </c>
      <c r="F10" s="8" t="e">
        <f>VLOOKUP(A10,#REF!,22,FALSE)</f>
        <v>#REF!</v>
      </c>
    </row>
    <row r="11" spans="1:7" ht="14.5" x14ac:dyDescent="0.35">
      <c r="A11" s="7" t="s">
        <v>12</v>
      </c>
      <c r="B11" s="12" t="e">
        <f>VLOOKUP(A11,#REF!,7,FALSE)</f>
        <v>#REF!</v>
      </c>
      <c r="C11" s="12" t="e">
        <f>VLOOKUP(A11,#REF!,14,FALSE)</f>
        <v>#REF!</v>
      </c>
      <c r="D11" s="12" t="e">
        <f>VLOOKUP(A11,#REF!,18,FALSE)</f>
        <v>#REF!</v>
      </c>
      <c r="E11" s="12" t="e">
        <f xml:space="preserve"> VLOOKUP(A11,#REF!,20,FALSE)</f>
        <v>#REF!</v>
      </c>
      <c r="F11" s="8" t="e">
        <f>VLOOKUP(A11,#REF!,22,FALSE)</f>
        <v>#REF!</v>
      </c>
    </row>
    <row r="12" spans="1:7" ht="14.5" x14ac:dyDescent="0.35">
      <c r="A12" s="7" t="s">
        <v>14</v>
      </c>
      <c r="B12" s="12" t="e">
        <f>VLOOKUP(A12,#REF!,7,FALSE)</f>
        <v>#REF!</v>
      </c>
      <c r="C12" s="12" t="e">
        <f>VLOOKUP(A12,#REF!,14,FALSE)</f>
        <v>#REF!</v>
      </c>
      <c r="D12" s="12" t="e">
        <f>VLOOKUP(A12,#REF!,18,FALSE)</f>
        <v>#REF!</v>
      </c>
      <c r="E12" s="12" t="e">
        <f xml:space="preserve"> VLOOKUP(A12,#REF!,20,FALSE)</f>
        <v>#REF!</v>
      </c>
      <c r="F12" s="8" t="e">
        <f>VLOOKUP(A12,#REF!,22,FALSE)</f>
        <v>#REF!</v>
      </c>
    </row>
    <row r="13" spans="1:7" ht="14.5" x14ac:dyDescent="0.35">
      <c r="A13" s="7" t="s">
        <v>15</v>
      </c>
      <c r="B13" s="12" t="e">
        <f>VLOOKUP(A13,#REF!,7,FALSE)</f>
        <v>#REF!</v>
      </c>
      <c r="C13" s="12" t="e">
        <f>VLOOKUP(A13,#REF!,14,FALSE)</f>
        <v>#REF!</v>
      </c>
      <c r="D13" s="12" t="e">
        <f>VLOOKUP(A13,#REF!,18,FALSE)</f>
        <v>#REF!</v>
      </c>
      <c r="E13" s="12" t="e">
        <f xml:space="preserve"> VLOOKUP(A13,#REF!,20,FALSE)</f>
        <v>#REF!</v>
      </c>
      <c r="F13" s="8" t="e">
        <f>VLOOKUP(A13,#REF!,22,FALSE)</f>
        <v>#REF!</v>
      </c>
    </row>
    <row r="14" spans="1:7" ht="14.5" x14ac:dyDescent="0.35">
      <c r="A14" s="7" t="s">
        <v>16</v>
      </c>
      <c r="B14" s="12" t="e">
        <f>VLOOKUP(A14,#REF!,7,FALSE)</f>
        <v>#REF!</v>
      </c>
      <c r="C14" s="12" t="e">
        <f>VLOOKUP(A14,#REF!,14,FALSE)</f>
        <v>#REF!</v>
      </c>
      <c r="D14" s="12" t="e">
        <f>VLOOKUP(A14,#REF!,18,FALSE)</f>
        <v>#REF!</v>
      </c>
      <c r="E14" s="12" t="e">
        <f xml:space="preserve"> VLOOKUP(A14,#REF!,20,FALSE)</f>
        <v>#REF!</v>
      </c>
      <c r="F14" s="8" t="e">
        <f>VLOOKUP(A14,#REF!,22,FALSE)</f>
        <v>#REF!</v>
      </c>
    </row>
    <row r="15" spans="1:7" ht="14.5" x14ac:dyDescent="0.35">
      <c r="A15" s="7" t="s">
        <v>18</v>
      </c>
      <c r="B15" s="12" t="e">
        <f>VLOOKUP(A15,#REF!,7,FALSE)</f>
        <v>#REF!</v>
      </c>
      <c r="C15" s="12" t="e">
        <f>VLOOKUP(A15,#REF!,14,FALSE)</f>
        <v>#REF!</v>
      </c>
      <c r="D15" s="12" t="e">
        <f>VLOOKUP(A15,#REF!,18,FALSE)</f>
        <v>#REF!</v>
      </c>
      <c r="E15" s="12" t="e">
        <f xml:space="preserve"> VLOOKUP(A15,#REF!,20,FALSE)</f>
        <v>#REF!</v>
      </c>
      <c r="F15" s="8" t="e">
        <f>VLOOKUP(A15,#REF!,22,FALSE)</f>
        <v>#REF!</v>
      </c>
    </row>
    <row r="16" spans="1:7" ht="14.5" x14ac:dyDescent="0.35">
      <c r="A16" s="7" t="s">
        <v>20</v>
      </c>
      <c r="B16" s="12" t="e">
        <f>VLOOKUP(A16,#REF!,7,FALSE)</f>
        <v>#REF!</v>
      </c>
      <c r="C16" s="12" t="e">
        <f>VLOOKUP(A16,#REF!,14,FALSE)</f>
        <v>#REF!</v>
      </c>
      <c r="D16" s="12" t="e">
        <f>VLOOKUP(A16,#REF!,18,FALSE)</f>
        <v>#REF!</v>
      </c>
      <c r="E16" s="12" t="e">
        <f xml:space="preserve"> VLOOKUP(A16,#REF!,20,FALSE)</f>
        <v>#REF!</v>
      </c>
      <c r="F16" s="8" t="e">
        <f>VLOOKUP(A16,#REF!,22,FALSE)</f>
        <v>#REF!</v>
      </c>
    </row>
    <row r="17" spans="1:6" ht="14.5" x14ac:dyDescent="0.35">
      <c r="A17" s="7" t="s">
        <v>22</v>
      </c>
      <c r="B17" s="12" t="e">
        <f>VLOOKUP(A17,#REF!,7,FALSE)</f>
        <v>#REF!</v>
      </c>
      <c r="C17" s="12" t="e">
        <f>VLOOKUP(A17,#REF!,14,FALSE)</f>
        <v>#REF!</v>
      </c>
      <c r="D17" s="12" t="e">
        <f>VLOOKUP(A17,#REF!,18,FALSE)</f>
        <v>#REF!</v>
      </c>
      <c r="E17" s="12" t="e">
        <f xml:space="preserve"> VLOOKUP(A17,#REF!,20,FALSE)</f>
        <v>#REF!</v>
      </c>
      <c r="F17" s="8" t="e">
        <f>VLOOKUP(A17,#REF!,22,FALSE)</f>
        <v>#REF!</v>
      </c>
    </row>
    <row r="18" spans="1:6" ht="14.5" x14ac:dyDescent="0.35">
      <c r="A18" s="7" t="s">
        <v>23</v>
      </c>
      <c r="B18" s="12" t="e">
        <f>VLOOKUP(A18,#REF!,7,FALSE)</f>
        <v>#REF!</v>
      </c>
      <c r="C18" s="12" t="e">
        <f>VLOOKUP(A18,#REF!,14,FALSE)</f>
        <v>#REF!</v>
      </c>
      <c r="D18" s="12" t="e">
        <f>VLOOKUP(A18,#REF!,18,FALSE)</f>
        <v>#REF!</v>
      </c>
      <c r="E18" s="12" t="e">
        <f xml:space="preserve"> VLOOKUP(A18,#REF!,20,FALSE)</f>
        <v>#REF!</v>
      </c>
      <c r="F18" s="8" t="e">
        <f>VLOOKUP(A18,#REF!,22,FALSE)</f>
        <v>#REF!</v>
      </c>
    </row>
    <row r="19" spans="1:6" ht="14.5" x14ac:dyDescent="0.35">
      <c r="A19" s="7" t="s">
        <v>24</v>
      </c>
      <c r="B19" s="12" t="e">
        <f>VLOOKUP(A19,#REF!,7,FALSE)</f>
        <v>#REF!</v>
      </c>
      <c r="C19" s="12" t="e">
        <f>VLOOKUP(A19,#REF!,14,FALSE)</f>
        <v>#REF!</v>
      </c>
      <c r="D19" s="12" t="e">
        <f>VLOOKUP(A19,#REF!,18,FALSE)</f>
        <v>#REF!</v>
      </c>
      <c r="E19" s="12" t="e">
        <f xml:space="preserve"> VLOOKUP(A19,#REF!,20,FALSE)</f>
        <v>#REF!</v>
      </c>
      <c r="F19" s="8" t="e">
        <f>VLOOKUP(A19,#REF!,22,FALSE)</f>
        <v>#REF!</v>
      </c>
    </row>
    <row r="20" spans="1:6" ht="14.5" x14ac:dyDescent="0.35">
      <c r="A20" s="7" t="s">
        <v>28</v>
      </c>
      <c r="B20" s="12" t="e">
        <f>VLOOKUP(A20,#REF!,7,FALSE)</f>
        <v>#REF!</v>
      </c>
      <c r="C20" s="12" t="e">
        <f>VLOOKUP(A20,#REF!,14,FALSE)</f>
        <v>#REF!</v>
      </c>
      <c r="D20" s="12" t="e">
        <f>VLOOKUP(A20,#REF!,18,FALSE)</f>
        <v>#REF!</v>
      </c>
      <c r="E20" s="12" t="e">
        <f xml:space="preserve"> VLOOKUP(A20,#REF!,20,FALSE)</f>
        <v>#REF!</v>
      </c>
      <c r="F20" s="8" t="e">
        <f>VLOOKUP(A20,#REF!,22,FALSE)</f>
        <v>#REF!</v>
      </c>
    </row>
    <row r="21" spans="1:6" ht="14.5" x14ac:dyDescent="0.35">
      <c r="A21" s="7" t="s">
        <v>57</v>
      </c>
      <c r="B21" s="12" t="e">
        <f>VLOOKUP(A21,#REF!,7,FALSE)</f>
        <v>#REF!</v>
      </c>
      <c r="C21" s="12" t="e">
        <f>VLOOKUP(A21,#REF!,14,FALSE)</f>
        <v>#REF!</v>
      </c>
      <c r="D21" s="12" t="e">
        <f>VLOOKUP(A21,#REF!,18,FALSE)</f>
        <v>#REF!</v>
      </c>
      <c r="E21" s="12" t="e">
        <f xml:space="preserve"> VLOOKUP(A21,#REF!,20,FALSE)</f>
        <v>#REF!</v>
      </c>
      <c r="F21" s="8" t="e">
        <f>VLOOKUP(A21,#REF!,22,FALSE)</f>
        <v>#REF!</v>
      </c>
    </row>
    <row r="22" spans="1:6" ht="14.5" x14ac:dyDescent="0.35">
      <c r="A22" s="7" t="s">
        <v>58</v>
      </c>
      <c r="B22" s="12" t="e">
        <f>VLOOKUP(A22,#REF!,7,FALSE)</f>
        <v>#REF!</v>
      </c>
      <c r="C22" s="12" t="e">
        <f>VLOOKUP(A22,#REF!,14,FALSE)</f>
        <v>#REF!</v>
      </c>
      <c r="D22" s="12" t="e">
        <f>VLOOKUP(A22,#REF!,18,FALSE)</f>
        <v>#REF!</v>
      </c>
      <c r="E22" s="12" t="e">
        <f xml:space="preserve"> VLOOKUP(A22,#REF!,20,FALSE)</f>
        <v>#REF!</v>
      </c>
      <c r="F22" s="8" t="e">
        <f>VLOOKUP(A22,#REF!,22,FALSE)</f>
        <v>#REF!</v>
      </c>
    </row>
    <row r="23" spans="1:6" ht="14.5" x14ac:dyDescent="0.35">
      <c r="A23" s="7" t="s">
        <v>31</v>
      </c>
      <c r="B23" s="12" t="e">
        <f>VLOOKUP(A23,#REF!,7,FALSE)</f>
        <v>#REF!</v>
      </c>
      <c r="C23" s="12" t="e">
        <f>VLOOKUP(A23,#REF!,14,FALSE)</f>
        <v>#REF!</v>
      </c>
      <c r="D23" s="12" t="e">
        <f>VLOOKUP(A23,#REF!,18,FALSE)</f>
        <v>#REF!</v>
      </c>
      <c r="E23" s="12" t="e">
        <f xml:space="preserve"> VLOOKUP(A23,#REF!,20,FALSE)</f>
        <v>#REF!</v>
      </c>
      <c r="F23" s="8" t="e">
        <f>VLOOKUP(A23,#REF!,22,FALSE)</f>
        <v>#REF!</v>
      </c>
    </row>
    <row r="24" spans="1:6" ht="14.5" x14ac:dyDescent="0.35">
      <c r="A24" s="7" t="s">
        <v>32</v>
      </c>
      <c r="B24" s="12" t="e">
        <f>VLOOKUP(A24,#REF!,7,FALSE)</f>
        <v>#REF!</v>
      </c>
      <c r="C24" s="12" t="e">
        <f>VLOOKUP(A24,#REF!,14,FALSE)</f>
        <v>#REF!</v>
      </c>
      <c r="D24" s="12" t="e">
        <f>VLOOKUP(A24,#REF!,18,FALSE)</f>
        <v>#REF!</v>
      </c>
      <c r="E24" s="12" t="e">
        <f xml:space="preserve"> VLOOKUP(A24,#REF!,20,FALSE)</f>
        <v>#REF!</v>
      </c>
      <c r="F24" s="8" t="e">
        <f>VLOOKUP(A24,#REF!,22,FALSE)</f>
        <v>#REF!</v>
      </c>
    </row>
    <row r="25" spans="1:6" ht="14.5" x14ac:dyDescent="0.35">
      <c r="A25" s="7" t="s">
        <v>34</v>
      </c>
      <c r="B25" s="12" t="e">
        <f>VLOOKUP(A25,#REF!,7,FALSE)</f>
        <v>#REF!</v>
      </c>
      <c r="C25" s="12" t="e">
        <f>VLOOKUP(A25,#REF!,14,FALSE)</f>
        <v>#REF!</v>
      </c>
      <c r="D25" s="12" t="e">
        <f>VLOOKUP(A25,#REF!,18,FALSE)</f>
        <v>#REF!</v>
      </c>
      <c r="E25" s="12" t="e">
        <f xml:space="preserve"> VLOOKUP(A25,#REF!,20,FALSE)</f>
        <v>#REF!</v>
      </c>
      <c r="F25" s="8" t="e">
        <f>VLOOKUP(A25,#REF!,22,FALSE)</f>
        <v>#REF!</v>
      </c>
    </row>
    <row r="26" spans="1:6" ht="14.5" x14ac:dyDescent="0.35">
      <c r="A26" s="7" t="s">
        <v>37</v>
      </c>
      <c r="B26" s="12" t="e">
        <f>VLOOKUP(A26,#REF!,7,FALSE)</f>
        <v>#REF!</v>
      </c>
      <c r="C26" s="12" t="e">
        <f>VLOOKUP(A26,#REF!,14,FALSE)</f>
        <v>#REF!</v>
      </c>
      <c r="D26" s="12" t="e">
        <f>VLOOKUP(A26,#REF!,18,FALSE)</f>
        <v>#REF!</v>
      </c>
      <c r="E26" s="12" t="e">
        <f xml:space="preserve"> VLOOKUP(A26,#REF!,20,FALSE)</f>
        <v>#REF!</v>
      </c>
      <c r="F26" s="8" t="e">
        <f>VLOOKUP(A26,#REF!,22,FALSE)</f>
        <v>#REF!</v>
      </c>
    </row>
    <row r="27" spans="1:6" ht="14.5" x14ac:dyDescent="0.35">
      <c r="A27" s="7" t="s">
        <v>39</v>
      </c>
      <c r="B27" s="12" t="e">
        <f>VLOOKUP(A27,#REF!,7,FALSE)</f>
        <v>#REF!</v>
      </c>
      <c r="C27" s="12" t="e">
        <f>VLOOKUP(A27,#REF!,14,FALSE)</f>
        <v>#REF!</v>
      </c>
      <c r="D27" s="12" t="e">
        <f>VLOOKUP(A27,#REF!,18,FALSE)</f>
        <v>#REF!</v>
      </c>
      <c r="E27" s="12" t="e">
        <f xml:space="preserve"> VLOOKUP(A27,#REF!,20,FALSE)</f>
        <v>#REF!</v>
      </c>
      <c r="F27" s="8" t="e">
        <f>VLOOKUP(A27,#REF!,22,FALSE)</f>
        <v>#REF!</v>
      </c>
    </row>
    <row r="28" spans="1:6" ht="14.5" x14ac:dyDescent="0.35">
      <c r="A28" s="19" t="s">
        <v>82</v>
      </c>
      <c r="B28" s="32" t="e">
        <f>MIN(B6:B27)</f>
        <v>#REF!</v>
      </c>
      <c r="C28" s="32" t="e">
        <f t="shared" ref="C28:F28" si="0">MIN(C6:C27)</f>
        <v>#REF!</v>
      </c>
      <c r="D28" s="32" t="e">
        <f t="shared" si="0"/>
        <v>#REF!</v>
      </c>
      <c r="E28" s="32" t="e">
        <f t="shared" si="0"/>
        <v>#REF!</v>
      </c>
      <c r="F28" s="32" t="e">
        <f t="shared" si="0"/>
        <v>#REF!</v>
      </c>
    </row>
    <row r="29" spans="1:6" ht="14.5" x14ac:dyDescent="0.35">
      <c r="A29" s="19" t="s">
        <v>83</v>
      </c>
      <c r="B29" s="32" t="e">
        <f>MAX(B6:B27)</f>
        <v>#REF!</v>
      </c>
      <c r="C29" s="32" t="e">
        <f>MAX(C6:C27)</f>
        <v>#REF!</v>
      </c>
      <c r="D29" s="32" t="e">
        <f t="shared" ref="D29:F29" si="1">MAX(D6:D27)</f>
        <v>#REF!</v>
      </c>
      <c r="E29" s="32" t="e">
        <f t="shared" si="1"/>
        <v>#REF!</v>
      </c>
      <c r="F29" s="32" t="e">
        <f t="shared" si="1"/>
        <v>#REF!</v>
      </c>
    </row>
    <row r="30" spans="1:6" ht="14.5" x14ac:dyDescent="0.35">
      <c r="A30" s="19" t="s">
        <v>84</v>
      </c>
      <c r="B30" s="32" t="e">
        <f>AVERAGE(B6:B27)</f>
        <v>#REF!</v>
      </c>
      <c r="C30" s="32" t="e">
        <f t="shared" ref="C30:F30" si="2">AVERAGE(C6:C27)</f>
        <v>#REF!</v>
      </c>
      <c r="D30" s="32" t="e">
        <f t="shared" si="2"/>
        <v>#REF!</v>
      </c>
      <c r="E30" s="32" t="e">
        <f t="shared" si="2"/>
        <v>#REF!</v>
      </c>
      <c r="F30" s="32" t="e">
        <f t="shared" si="2"/>
        <v>#REF!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Q54"/>
  <sheetViews>
    <sheetView topLeftCell="A45" zoomScaleNormal="100" workbookViewId="0">
      <selection activeCell="D9" sqref="D9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7" s="42" customFormat="1" ht="21" x14ac:dyDescent="0.5">
      <c r="A1" s="43" t="s">
        <v>56</v>
      </c>
      <c r="B1" s="42" t="s">
        <v>174</v>
      </c>
      <c r="C1" s="42" t="s">
        <v>174</v>
      </c>
      <c r="D1" s="42" t="s">
        <v>174</v>
      </c>
      <c r="E1" s="42" t="s">
        <v>174</v>
      </c>
      <c r="F1" s="42" t="s">
        <v>174</v>
      </c>
      <c r="G1" s="42" t="s">
        <v>174</v>
      </c>
      <c r="H1" s="42" t="s">
        <v>174</v>
      </c>
      <c r="I1" s="42" t="s">
        <v>174</v>
      </c>
      <c r="J1" s="42" t="s">
        <v>174</v>
      </c>
      <c r="K1" s="42" t="s">
        <v>174</v>
      </c>
      <c r="L1" s="42" t="s">
        <v>174</v>
      </c>
      <c r="M1" s="42" t="s">
        <v>174</v>
      </c>
      <c r="N1" s="42" t="s">
        <v>174</v>
      </c>
      <c r="O1" s="42" t="s">
        <v>174</v>
      </c>
      <c r="P1" s="42" t="s">
        <v>174</v>
      </c>
      <c r="Q1" s="42" t="s">
        <v>174</v>
      </c>
    </row>
    <row r="2" spans="1:17" customFormat="1" ht="13" x14ac:dyDescent="0.3"/>
    <row r="3" spans="1:17" s="2" customFormat="1" x14ac:dyDescent="0.35">
      <c r="B3" s="1"/>
    </row>
    <row r="4" spans="1:17" s="2" customFormat="1" x14ac:dyDescent="0.35">
      <c r="B4" s="1" t="s">
        <v>151</v>
      </c>
    </row>
    <row r="5" spans="1:17" ht="18.5" x14ac:dyDescent="0.45">
      <c r="A5" s="44" t="s">
        <v>53</v>
      </c>
      <c r="B5" s="41" t="s">
        <v>179</v>
      </c>
    </row>
    <row r="6" spans="1:17" ht="18.5" x14ac:dyDescent="0.45">
      <c r="A6" s="44" t="s">
        <v>153</v>
      </c>
      <c r="B6" s="41" t="s">
        <v>180</v>
      </c>
    </row>
    <row r="7" spans="1:17" ht="18.5" x14ac:dyDescent="0.45">
      <c r="A7" s="44"/>
      <c r="B7" s="41"/>
    </row>
    <row r="9" spans="1:17" ht="23.5" x14ac:dyDescent="0.55000000000000004">
      <c r="A9" s="18" t="s">
        <v>165</v>
      </c>
      <c r="I9" s="2"/>
      <c r="J9" s="2"/>
    </row>
    <row r="10" spans="1:17" x14ac:dyDescent="0.35">
      <c r="A10" s="34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7" x14ac:dyDescent="0.3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7" ht="23.5" x14ac:dyDescent="0.55000000000000004">
      <c r="A14" s="18" t="s">
        <v>162</v>
      </c>
    </row>
    <row r="15" spans="1:17" x14ac:dyDescent="0.3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7" x14ac:dyDescent="0.35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5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5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5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5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5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5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5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5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5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5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5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5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5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5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5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5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5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5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5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5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5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5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5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5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5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5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5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5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5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5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5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5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5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5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5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5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5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5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F7" sqref="F7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3" t="s">
        <v>85</v>
      </c>
      <c r="B1" s="42" t="s">
        <v>167</v>
      </c>
    </row>
    <row r="2" spans="1:3" ht="18.5" x14ac:dyDescent="0.45">
      <c r="B2" s="41" t="s">
        <v>166</v>
      </c>
    </row>
    <row r="5" spans="1:3" ht="14.5" x14ac:dyDescent="0.35">
      <c r="B5" s="1" t="s">
        <v>151</v>
      </c>
    </row>
    <row r="6" spans="1:3" ht="14.5" x14ac:dyDescent="0.35">
      <c r="A6" s="3" t="s">
        <v>53</v>
      </c>
      <c r="B6" s="1" t="s">
        <v>183</v>
      </c>
    </row>
    <row r="7" spans="1:3" ht="14.5" x14ac:dyDescent="0.35">
      <c r="A7" s="3" t="s">
        <v>153</v>
      </c>
      <c r="B7" s="46" t="s">
        <v>184</v>
      </c>
    </row>
    <row r="10" spans="1:3" ht="23.5" x14ac:dyDescent="0.55000000000000004">
      <c r="A10" s="18" t="s">
        <v>162</v>
      </c>
    </row>
    <row r="11" spans="1:3" ht="14.5" x14ac:dyDescent="0.35">
      <c r="A11" s="33" t="s">
        <v>86</v>
      </c>
      <c r="B11" s="17" t="s">
        <v>87</v>
      </c>
      <c r="C11" s="17" t="s">
        <v>88</v>
      </c>
    </row>
    <row r="12" spans="1:3" ht="14.5" x14ac:dyDescent="0.35">
      <c r="A12" s="33">
        <v>44927</v>
      </c>
      <c r="B12" s="17" t="s">
        <v>59</v>
      </c>
      <c r="C12" s="17">
        <v>200</v>
      </c>
    </row>
    <row r="13" spans="1:3" ht="14.5" x14ac:dyDescent="0.35">
      <c r="A13" s="33">
        <v>44928</v>
      </c>
      <c r="B13" s="17" t="s">
        <v>60</v>
      </c>
      <c r="C13" s="17" t="e">
        <v>#N/A</v>
      </c>
    </row>
    <row r="14" spans="1:3" ht="14.5" x14ac:dyDescent="0.35">
      <c r="A14" s="33">
        <v>44929</v>
      </c>
      <c r="B14" s="17" t="s">
        <v>61</v>
      </c>
      <c r="C14" s="17">
        <v>50</v>
      </c>
    </row>
    <row r="15" spans="1:3" ht="14.5" x14ac:dyDescent="0.35">
      <c r="A15" s="33">
        <v>44930</v>
      </c>
      <c r="B15" s="17" t="s">
        <v>62</v>
      </c>
      <c r="C15" s="17" t="e">
        <v>#N/A</v>
      </c>
    </row>
    <row r="16" spans="1:3" ht="14.5" x14ac:dyDescent="0.35">
      <c r="A16" s="33">
        <v>44931</v>
      </c>
      <c r="B16" s="17" t="s">
        <v>63</v>
      </c>
      <c r="C16" s="17">
        <v>10</v>
      </c>
    </row>
    <row r="17" spans="1:3" ht="14.5" x14ac:dyDescent="0.35">
      <c r="A17" s="33">
        <v>44932</v>
      </c>
      <c r="B17" s="17" t="s">
        <v>154</v>
      </c>
      <c r="C17" s="17">
        <v>150</v>
      </c>
    </row>
    <row r="18" spans="1:3" ht="14.5" x14ac:dyDescent="0.35">
      <c r="A18" s="33">
        <v>44933</v>
      </c>
      <c r="B18" s="17" t="s">
        <v>155</v>
      </c>
      <c r="C18" s="17">
        <v>80</v>
      </c>
    </row>
    <row r="19" spans="1:3" ht="14.5" x14ac:dyDescent="0.35">
      <c r="A19" s="33">
        <v>44934</v>
      </c>
      <c r="B19" s="17" t="s">
        <v>156</v>
      </c>
      <c r="C19" s="17" t="e">
        <v>#N/A</v>
      </c>
    </row>
    <row r="20" spans="1:3" ht="14.5" x14ac:dyDescent="0.35">
      <c r="A20" s="33">
        <v>44935</v>
      </c>
      <c r="B20" s="17" t="s">
        <v>157</v>
      </c>
      <c r="C20" s="17">
        <v>30</v>
      </c>
    </row>
    <row r="21" spans="1:3" ht="14.5" x14ac:dyDescent="0.35">
      <c r="A21" s="33">
        <v>44936</v>
      </c>
      <c r="B21" s="17" t="s">
        <v>158</v>
      </c>
      <c r="C21" s="17" t="e">
        <v>#N/A</v>
      </c>
    </row>
    <row r="22" spans="1:3" ht="14.5" x14ac:dyDescent="0.35">
      <c r="B22" s="17" t="s">
        <v>159</v>
      </c>
      <c r="C22" s="25" cm="1">
        <f t="array" ref="C22">SUM(IFERROR(C11:C21,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7"/>
  <sheetViews>
    <sheetView topLeftCell="A22" zoomScaleNormal="100" workbookViewId="0">
      <selection activeCell="K8" sqref="K8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3" t="s">
        <v>98</v>
      </c>
      <c r="B1" s="42" t="s">
        <v>175</v>
      </c>
    </row>
    <row r="3" spans="1:14" ht="14.5" x14ac:dyDescent="0.35">
      <c r="B3" s="1" t="s">
        <v>151</v>
      </c>
    </row>
    <row r="4" spans="1:14" ht="18.5" x14ac:dyDescent="0.45">
      <c r="A4" s="44" t="s">
        <v>53</v>
      </c>
      <c r="B4" s="1"/>
      <c r="C4" s="2" t="s">
        <v>181</v>
      </c>
    </row>
    <row r="5" spans="1:14" ht="18.5" x14ac:dyDescent="0.45">
      <c r="A5" s="44" t="s">
        <v>153</v>
      </c>
      <c r="B5" s="1"/>
      <c r="C5" s="46" t="s">
        <v>182</v>
      </c>
    </row>
    <row r="6" spans="1:14" ht="14.5" x14ac:dyDescent="0.35">
      <c r="A6" s="3"/>
      <c r="B6" s="1"/>
    </row>
    <row r="8" spans="1:14" ht="23.5" x14ac:dyDescent="0.55000000000000004">
      <c r="A8" s="18" t="s">
        <v>162</v>
      </c>
      <c r="M8" s="18" t="s">
        <v>163</v>
      </c>
    </row>
    <row r="9" spans="1:14" ht="14.5" x14ac:dyDescent="0.3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5" x14ac:dyDescent="0.3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5" x14ac:dyDescent="0.3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5" x14ac:dyDescent="0.3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5" x14ac:dyDescent="0.3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5" x14ac:dyDescent="0.3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5" x14ac:dyDescent="0.3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5" x14ac:dyDescent="0.3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5" x14ac:dyDescent="0.3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5" x14ac:dyDescent="0.3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5" x14ac:dyDescent="0.55000000000000004">
      <c r="A21" s="18" t="s">
        <v>168</v>
      </c>
    </row>
    <row r="22" spans="1:14" ht="14.5" x14ac:dyDescent="0.35">
      <c r="A22" s="14" t="s">
        <v>100</v>
      </c>
      <c r="B22" s="17" t="s">
        <v>101</v>
      </c>
      <c r="C22" s="16" t="s">
        <v>102</v>
      </c>
    </row>
    <row r="23" spans="1:14" ht="14.5" x14ac:dyDescent="0.35">
      <c r="A23" s="7">
        <v>10100</v>
      </c>
      <c r="B23" s="12">
        <v>10102</v>
      </c>
      <c r="C23" s="45">
        <f>INDEX($B$10:$J$18,MATCH(A23,$M$10:$M$18,0),MATCH(B23,$M$10:$M$18,0))</f>
        <v>95</v>
      </c>
    </row>
    <row r="24" spans="1:14" ht="14.5" x14ac:dyDescent="0.35">
      <c r="A24" s="7">
        <v>10100</v>
      </c>
      <c r="B24" s="12">
        <v>10104</v>
      </c>
      <c r="C24" s="45">
        <f t="shared" ref="C24:C37" si="0">INDEX($B$10:$J$18,MATCH(A24,$M$10:$M$18,0),MATCH(B24,$M$10:$M$18,0))</f>
        <v>-1</v>
      </c>
    </row>
    <row r="25" spans="1:14" ht="14.5" x14ac:dyDescent="0.35">
      <c r="A25" s="7">
        <v>10108</v>
      </c>
      <c r="B25" s="12">
        <v>10102</v>
      </c>
      <c r="C25" s="45">
        <f t="shared" si="0"/>
        <v>160</v>
      </c>
    </row>
    <row r="26" spans="1:14" ht="14.5" x14ac:dyDescent="0.35">
      <c r="A26" s="7">
        <v>10100</v>
      </c>
      <c r="B26" s="12">
        <v>10106</v>
      </c>
      <c r="C26" s="45">
        <f t="shared" si="0"/>
        <v>185</v>
      </c>
    </row>
    <row r="27" spans="1:14" ht="14.5" x14ac:dyDescent="0.35">
      <c r="A27" s="7">
        <v>10108</v>
      </c>
      <c r="B27" s="12">
        <v>10110</v>
      </c>
      <c r="C27" s="45">
        <f t="shared" si="0"/>
        <v>50</v>
      </c>
    </row>
    <row r="28" spans="1:14" ht="14.5" x14ac:dyDescent="0.35">
      <c r="A28" s="7">
        <v>10102</v>
      </c>
      <c r="B28" s="12">
        <v>10104</v>
      </c>
      <c r="C28" s="45">
        <f t="shared" si="0"/>
        <v>-1</v>
      </c>
    </row>
    <row r="29" spans="1:14" ht="14.5" x14ac:dyDescent="0.35">
      <c r="A29" s="7">
        <v>10106</v>
      </c>
      <c r="B29" s="12">
        <v>10108</v>
      </c>
      <c r="C29" s="45">
        <f t="shared" si="0"/>
        <v>70</v>
      </c>
    </row>
    <row r="30" spans="1:14" ht="14.5" x14ac:dyDescent="0.35">
      <c r="A30" s="7">
        <v>10102</v>
      </c>
      <c r="B30" s="12">
        <v>10106</v>
      </c>
      <c r="C30" s="45">
        <f t="shared" si="0"/>
        <v>90</v>
      </c>
    </row>
    <row r="31" spans="1:14" ht="14.5" x14ac:dyDescent="0.35">
      <c r="A31" s="7">
        <v>10110</v>
      </c>
      <c r="B31" s="12">
        <v>10114</v>
      </c>
      <c r="C31" s="45">
        <f t="shared" si="0"/>
        <v>180</v>
      </c>
    </row>
    <row r="32" spans="1:14" ht="14.5" x14ac:dyDescent="0.35">
      <c r="A32" s="7">
        <v>10104</v>
      </c>
      <c r="B32" s="12">
        <v>10106</v>
      </c>
      <c r="C32" s="45">
        <f t="shared" si="0"/>
        <v>60</v>
      </c>
    </row>
    <row r="33" spans="1:3" ht="14.5" x14ac:dyDescent="0.35">
      <c r="A33" s="7">
        <v>10110</v>
      </c>
      <c r="B33" s="12">
        <v>10112</v>
      </c>
      <c r="C33" s="45">
        <f t="shared" si="0"/>
        <v>115</v>
      </c>
    </row>
    <row r="34" spans="1:3" ht="14.5" x14ac:dyDescent="0.35">
      <c r="A34" s="7">
        <v>10100</v>
      </c>
      <c r="B34" s="12">
        <v>10114</v>
      </c>
      <c r="C34" s="45">
        <f t="shared" si="0"/>
        <v>480</v>
      </c>
    </row>
    <row r="35" spans="1:3" ht="14.5" x14ac:dyDescent="0.35">
      <c r="A35" s="9">
        <v>10112</v>
      </c>
      <c r="B35" s="13">
        <v>10116</v>
      </c>
      <c r="C35" s="45">
        <f t="shared" si="0"/>
        <v>105</v>
      </c>
    </row>
    <row r="36" spans="1:3" x14ac:dyDescent="0.3">
      <c r="C36" s="45"/>
    </row>
    <row r="37" spans="1:3" x14ac:dyDescent="0.3">
      <c r="C37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Dataset1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Syed Izan</cp:lastModifiedBy>
  <dcterms:created xsi:type="dcterms:W3CDTF">2015-02-10T17:33:11Z</dcterms:created>
  <dcterms:modified xsi:type="dcterms:W3CDTF">2023-12-10T19:48:15Z</dcterms:modified>
</cp:coreProperties>
</file>